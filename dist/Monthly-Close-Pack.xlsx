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 Pack" sheetId="1" state="visible" r:id="rId1"/>
    <sheet name="Transactions" sheetId="2" state="visible" r:id="rId2"/>
    <sheet name="Bank Rec" sheetId="3" state="visible" r:id="rId3"/>
    <sheet name="AR Ageing" sheetId="4" state="visible" r:id="rId4"/>
    <sheet name="AP Ageing" sheetId="5" state="visible" r:id="rId5"/>
    <sheet name="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</font>
    <font>
      <name val="Arial"/>
      <i val="1"/>
      <color rgb="00666C82"/>
    </font>
    <font>
      <name val="Arial"/>
      <b val="1"/>
      <sz val="14"/>
    </font>
    <font>
      <name val="Arial"/>
    </font>
    <font>
      <name val="Arial"/>
      <b val="1"/>
      <sz val="13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2E3A7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CDEE9"/>
      </left>
      <right style="thin">
        <color rgb="00DCDEE9"/>
      </right>
      <top style="thin">
        <color rgb="00DCDEE9"/>
      </top>
      <bottom style="thin">
        <color rgb="00DCDE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164" fontId="3" fillId="0" borderId="1" pivotButton="0" quotePrefix="0" xfId="0"/>
    <xf numFmtId="165" fontId="6" fillId="0" borderId="1" pivotButton="0" quotePrefix="0" xfId="0"/>
    <xf numFmtId="0" fontId="6" fillId="0" borderId="1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  <xf numFmtId="0" fontId="7" fillId="0" borderId="0" pivotButton="0" quotePrefix="0" xfId="0"/>
    <xf numFmtId="164" fontId="8" fillId="0" borderId="1" pivotButton="0" quotePrefix="0" xfId="0"/>
    <xf numFmtId="164" fontId="2" fillId="3" borderId="1" pivotButton="0" quotePrefix="0" xfId="0"/>
    <xf numFmtId="0" fontId="0" fillId="0" borderId="1" pivotButton="0" quotePrefix="0" xfId="0"/>
    <xf numFmtId="164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52" customWidth="1" min="3" max="3"/>
  </cols>
  <sheetData>
    <row r="1">
      <c r="A1" s="1" t="inlineStr">
        <is>
          <t>Sample Co — Monthly close pack, August 2026</t>
        </is>
      </c>
    </row>
    <row r="2">
      <c r="A2" s="2" t="inlineStr">
        <is>
          <t>Every figure is a formula over the Transactions tab. Sample data only.</t>
        </is>
      </c>
    </row>
    <row r="3">
      <c r="A3" s="3" t="inlineStr">
        <is>
          <t>PROFIT AND LOSS</t>
        </is>
      </c>
      <c r="C3" s="2" t="n"/>
    </row>
    <row r="4">
      <c r="A4" s="4" t="inlineStr">
        <is>
          <t>Sales (invoiced)</t>
        </is>
      </c>
      <c r="B4" s="5">
        <f>SUMIFS(Transactions!$E$2:$E$24,Transactions!$C$2:$C$24,"Sales",Transactions!$D$2:$D$24,"AR",Transactions!$E$2:$E$24,"&gt;0")</f>
        <v/>
      </c>
      <c r="C4" s="2" t="inlineStr">
        <is>
          <t>Invoices raised in the month</t>
        </is>
      </c>
    </row>
    <row r="5">
      <c r="A5" s="4" t="inlineStr">
        <is>
          <t>Cost of sales</t>
        </is>
      </c>
      <c r="B5" s="5">
        <f>-SUMIFS(Transactions!$E$2:$E$24,Transactions!$C$2:$C$24,"Cost of sales",Transactions!$D$2:$D$24,"AP",Transactions!$E$2:$E$24,"&lt;0")</f>
        <v/>
      </c>
      <c r="C5" s="2" t="inlineStr">
        <is>
          <t>Supplier bills for stock</t>
        </is>
      </c>
    </row>
    <row r="6">
      <c r="A6" s="4" t="inlineStr">
        <is>
          <t>Gross profit</t>
        </is>
      </c>
      <c r="B6" s="6">
        <f>B4-B5</f>
        <v/>
      </c>
      <c r="C6" s="2" t="inlineStr"/>
    </row>
    <row r="7">
      <c r="A7" s="4" t="inlineStr">
        <is>
          <t>Rent</t>
        </is>
      </c>
      <c r="B7" s="5">
        <f>-SUMIFS(Transactions!$E$2:$E$24,Transactions!$C$2:$C$24,"Rent",Transactions!$D$2:$D$24,"AP",Transactions!$E$2:$E$24,"&lt;0")</f>
        <v/>
      </c>
      <c r="C7" s="2" t="inlineStr"/>
    </row>
    <row r="8">
      <c r="A8" s="4" t="inlineStr">
        <is>
          <t>Salaries</t>
        </is>
      </c>
      <c r="B8" s="5">
        <f>-SUMIFS(Transactions!$E$2:$E$24,Transactions!$C$2:$C$24,"Salaries")</f>
        <v/>
      </c>
      <c r="C8" s="2" t="inlineStr"/>
    </row>
    <row r="9">
      <c r="A9" s="4" t="inlineStr">
        <is>
          <t>Utilities</t>
        </is>
      </c>
      <c r="B9" s="5">
        <f>-SUMIFS(Transactions!$E$2:$E$24,Transactions!$C$2:$C$24,"Utilities")</f>
        <v/>
      </c>
      <c r="C9" s="2" t="inlineStr"/>
    </row>
    <row r="10">
      <c r="A10" s="4" t="inlineStr">
        <is>
          <t>Software</t>
        </is>
      </c>
      <c r="B10" s="5">
        <f>-SUMIFS(Transactions!$E$2:$E$24,Transactions!$C$2:$C$24,"Software")</f>
        <v/>
      </c>
      <c r="C10" s="2" t="inlineStr"/>
    </row>
    <row r="11">
      <c r="A11" s="4" t="inlineStr">
        <is>
          <t>Marketing</t>
        </is>
      </c>
      <c r="B11" s="5">
        <f>-SUMIFS(Transactions!$E$2:$E$24,Transactions!$C$2:$C$24,"Marketing")</f>
        <v/>
      </c>
      <c r="C11" s="2" t="inlineStr"/>
    </row>
    <row r="12">
      <c r="A12" s="4" t="inlineStr">
        <is>
          <t>Insurance</t>
        </is>
      </c>
      <c r="B12" s="5">
        <f>-SUMIFS(Transactions!$E$2:$E$24,Transactions!$C$2:$C$24,"Insurance")</f>
        <v/>
      </c>
      <c r="C12" s="2" t="inlineStr"/>
    </row>
    <row r="13">
      <c r="A13" s="4" t="inlineStr">
        <is>
          <t>Bank charges</t>
        </is>
      </c>
      <c r="B13" s="5">
        <f>-SUMIFS(Transactions!$E$2:$E$24,Transactions!$C$2:$C$24,"Bank charges")</f>
        <v/>
      </c>
      <c r="C13" s="2" t="inlineStr"/>
    </row>
    <row r="14">
      <c r="A14" s="4" t="inlineStr">
        <is>
          <t>Total overheads</t>
        </is>
      </c>
      <c r="B14" s="5">
        <f>SUM(B7:B13)</f>
        <v/>
      </c>
      <c r="C14" s="2" t="inlineStr"/>
    </row>
    <row r="15">
      <c r="A15" s="4" t="inlineStr">
        <is>
          <t>Net profit</t>
        </is>
      </c>
      <c r="B15" s="6">
        <f>B6-B14</f>
        <v/>
      </c>
      <c r="C15" s="2" t="inlineStr">
        <is>
          <t>Gross profit less overheads</t>
        </is>
      </c>
    </row>
    <row r="16">
      <c r="A16" s="4" t="inlineStr">
        <is>
          <t>Gross margin</t>
        </is>
      </c>
      <c r="B16" s="7">
        <f>IF(B4=0,0,B6/B4)</f>
        <v/>
      </c>
      <c r="C16" s="2" t="inlineStr"/>
    </row>
    <row r="17">
      <c r="A17" s="4" t="inlineStr"/>
      <c r="C17" s="2" t="n"/>
    </row>
    <row r="18">
      <c r="A18" s="3" t="inlineStr">
        <is>
          <t>CASH AND WORKING CAPITAL</t>
        </is>
      </c>
      <c r="C18" s="2" t="n"/>
    </row>
    <row r="19">
      <c r="A19" s="4" t="inlineStr">
        <is>
          <t>Bank balance, end of month</t>
        </is>
      </c>
      <c r="B19" s="6">
        <f>SUMIFS(Transactions!$E$2:$E$24,Transactions!$D$2:$D$24,"Bank")</f>
        <v/>
      </c>
      <c r="C19" s="2" t="inlineStr">
        <is>
          <t>Opening balance plus every cash movement</t>
        </is>
      </c>
    </row>
    <row r="20">
      <c r="A20" s="4" t="inlineStr">
        <is>
          <t>Receivables outstanding</t>
        </is>
      </c>
      <c r="B20" s="5">
        <f>SUMIFS(Transactions!$E$2:$E$24,Transactions!$D$2:$D$24,"AR")</f>
        <v/>
      </c>
      <c r="C20" s="2" t="inlineStr">
        <is>
          <t>Opening plus invoices raised, less settlements</t>
        </is>
      </c>
    </row>
    <row r="21">
      <c r="A21" s="4" t="inlineStr">
        <is>
          <t>Payables outstanding</t>
        </is>
      </c>
      <c r="B21" s="5">
        <f>-SUMIFS(Transactions!$E$2:$E$24,Transactions!$D$2:$D$24,"AP")</f>
        <v/>
      </c>
      <c r="C21" s="2" t="inlineStr">
        <is>
          <t>Bills received less payments</t>
        </is>
      </c>
    </row>
    <row r="22">
      <c r="A22" s="4" t="inlineStr">
        <is>
          <t>Net working capital</t>
        </is>
      </c>
      <c r="B22" s="5">
        <f>B19+B20-B21</f>
        <v/>
      </c>
      <c r="C22" s="2" t="inlineStr"/>
    </row>
    <row r="23">
      <c r="A23" s="4" t="inlineStr">
        <is>
          <t>Cash movement in the month</t>
        </is>
      </c>
      <c r="B23" s="5">
        <f>SUMIFS(Transactions!$E$2:$E$24,Transactions!$D$2:$D$24,"Bank")-SUMIFS(Transactions!$E$2:$E$24,Transactions!$B$2:$B$24,"Opening bank balance b/f")</f>
        <v/>
      </c>
      <c r="C23" s="2" t="inlineStr">
        <is>
          <t>Closing bank less opening</t>
        </is>
      </c>
    </row>
    <row r="24">
      <c r="A24" s="4" t="inlineStr"/>
      <c r="C24" s="2" t="n"/>
    </row>
    <row r="25">
      <c r="A25" s="3" t="inlineStr">
        <is>
          <t>FIVE LINES IN PLAIN WORDS</t>
        </is>
      </c>
      <c r="C25" s="2" t="n"/>
    </row>
    <row r="26">
      <c r="A26" s="4" t="inlineStr">
        <is>
          <t>1</t>
        </is>
      </c>
      <c r="B26" s="5">
        <f>"Sales invoiced "&amp;TEXT(B4,"#,##0")&amp;" against cost of sales "&amp;TEXT(B5,"#,##0")&amp;" — gross margin "&amp;TEXT(B16,"0%")&amp;"."</f>
        <v/>
      </c>
      <c r="C26" s="2" t="inlineStr"/>
    </row>
    <row r="27">
      <c r="A27" s="4" t="inlineStr">
        <is>
          <t>2</t>
        </is>
      </c>
      <c r="B27" s="8">
        <f>"Net profit for the month "&amp;TEXT(B15,"#,##0")&amp;" after overheads of "&amp;TEXT(B14,"#,##0")&amp;"."</f>
        <v/>
      </c>
      <c r="C27" s="2" t="inlineStr"/>
    </row>
    <row r="28">
      <c r="A28" s="4" t="inlineStr">
        <is>
          <t>3</t>
        </is>
      </c>
      <c r="B28" s="8">
        <f>"Bank closed at "&amp;TEXT(B19,"#,##0")&amp;", a movement of "&amp;TEXT(B23,"#,##0;-#,##0")&amp;" in the month, mostly salaries and stock paid before customers paid."</f>
        <v/>
      </c>
      <c r="C28" s="2" t="inlineStr"/>
    </row>
    <row r="29">
      <c r="A29" s="4" t="inlineStr">
        <is>
          <t>4</t>
        </is>
      </c>
      <c r="B29" s="8">
        <f>"Customers owe "&amp;TEXT(B20,"#,##0")&amp;"; every item is current — see AR Ageing."</f>
        <v/>
      </c>
      <c r="C29" s="2" t="inlineStr"/>
    </row>
    <row r="30">
      <c r="A30" s="4" t="inlineStr">
        <is>
          <t>5</t>
        </is>
      </c>
      <c r="B30" s="8">
        <f>"Suppliers are owed "&amp;TEXT(B21,"#,##0")&amp;"; nothing is overdue at month end."</f>
        <v/>
      </c>
      <c r="C30" s="2" t="inlineStr"/>
    </row>
    <row r="3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10" customWidth="1" min="4" max="4"/>
    <col width="12" customWidth="1" min="5" max="5"/>
    <col width="60" customWidth="1" min="7" max="7"/>
  </cols>
  <sheetData>
    <row r="1">
      <c r="A1" s="9" t="inlineStr">
        <is>
          <t>Date</t>
        </is>
      </c>
      <c r="B1" s="9" t="inlineStr">
        <is>
          <t>Description</t>
        </is>
      </c>
      <c r="C1" s="9" t="inlineStr">
        <is>
          <t>Account</t>
        </is>
      </c>
      <c r="D1" s="9" t="inlineStr">
        <is>
          <t>Type</t>
        </is>
      </c>
      <c r="E1" s="9" t="inlineStr">
        <is>
          <t>Amount</t>
        </is>
      </c>
      <c r="G1" s="3" t="inlineStr">
        <is>
          <t>Legend</t>
        </is>
      </c>
    </row>
    <row r="2">
      <c r="A2" s="10" t="inlineStr">
        <is>
          <t>2026-08-01</t>
        </is>
      </c>
      <c r="B2" s="10" t="inlineStr">
        <is>
          <t>Opening bank balance b/f</t>
        </is>
      </c>
      <c r="C2" s="10" t="inlineStr">
        <is>
          <t>Bank</t>
        </is>
      </c>
      <c r="D2" s="10" t="inlineStr">
        <is>
          <t>Bank</t>
        </is>
      </c>
      <c r="E2" s="11" t="n">
        <v>18500</v>
      </c>
      <c r="G2" s="2" t="inlineStr">
        <is>
          <t>Blue = sample input. Type: Bank moves cash; AR is an invoice (+) or its settlement (−); AP is a bill (−) or its payment (+). Every other tab is formulas over this list.</t>
        </is>
      </c>
    </row>
    <row r="3">
      <c r="A3" s="10" t="inlineStr">
        <is>
          <t>2026-08-01</t>
        </is>
      </c>
      <c r="B3" s="10" t="inlineStr">
        <is>
          <t>Opening receivables b/f — inv 1039 Ng &amp; Co</t>
        </is>
      </c>
      <c r="C3" s="10" t="inlineStr">
        <is>
          <t>Opening AR</t>
        </is>
      </c>
      <c r="D3" s="10" t="inlineStr">
        <is>
          <t>AR</t>
        </is>
      </c>
      <c r="E3" s="11" t="n">
        <v>3100</v>
      </c>
    </row>
    <row r="4">
      <c r="A4" s="10" t="inlineStr">
        <is>
          <t>2026-08-02</t>
        </is>
      </c>
      <c r="B4" s="10" t="inlineStr">
        <is>
          <t>Invoice 1041 — Lim Trading</t>
        </is>
      </c>
      <c r="C4" s="10" t="inlineStr">
        <is>
          <t>Sales</t>
        </is>
      </c>
      <c r="D4" s="10" t="inlineStr">
        <is>
          <t>AR</t>
        </is>
      </c>
      <c r="E4" s="11" t="n">
        <v>4200</v>
      </c>
    </row>
    <row r="5">
      <c r="A5" s="10" t="inlineStr">
        <is>
          <t>2026-08-03</t>
        </is>
      </c>
      <c r="B5" s="10" t="inlineStr">
        <is>
          <t>Office rent August</t>
        </is>
      </c>
      <c r="C5" s="10" t="inlineStr">
        <is>
          <t>Rent</t>
        </is>
      </c>
      <c r="D5" s="10" t="inlineStr">
        <is>
          <t>AP</t>
        </is>
      </c>
      <c r="E5" s="11" t="n">
        <v>-2500</v>
      </c>
    </row>
    <row r="6">
      <c r="A6" s="10" t="inlineStr">
        <is>
          <t>2026-08-05</t>
        </is>
      </c>
      <c r="B6" s="10" t="inlineStr">
        <is>
          <t>Receipt inv 1039 — Ng &amp; Co</t>
        </is>
      </c>
      <c r="C6" s="10" t="inlineStr">
        <is>
          <t>Bank</t>
        </is>
      </c>
      <c r="D6" s="10" t="inlineStr">
        <is>
          <t>Bank</t>
        </is>
      </c>
      <c r="E6" s="11" t="n">
        <v>3100</v>
      </c>
    </row>
    <row r="7">
      <c r="A7" s="10" t="inlineStr">
        <is>
          <t>2026-08-05</t>
        </is>
      </c>
      <c r="B7" s="10" t="inlineStr">
        <is>
          <t>Settle inv 1039</t>
        </is>
      </c>
      <c r="C7" s="10" t="inlineStr">
        <is>
          <t>Opening AR</t>
        </is>
      </c>
      <c r="D7" s="10" t="inlineStr">
        <is>
          <t>AR</t>
        </is>
      </c>
      <c r="E7" s="11" t="n">
        <v>-3100</v>
      </c>
    </row>
    <row r="8">
      <c r="A8" s="10" t="inlineStr">
        <is>
          <t>2026-08-07</t>
        </is>
      </c>
      <c r="B8" s="10" t="inlineStr">
        <is>
          <t>Telco &amp; internet</t>
        </is>
      </c>
      <c r="C8" s="10" t="inlineStr">
        <is>
          <t>Utilities</t>
        </is>
      </c>
      <c r="D8" s="10" t="inlineStr">
        <is>
          <t>Bank</t>
        </is>
      </c>
      <c r="E8" s="11" t="n">
        <v>-180</v>
      </c>
    </row>
    <row r="9">
      <c r="A9" s="10" t="inlineStr">
        <is>
          <t>2026-08-09</t>
        </is>
      </c>
      <c r="B9" s="10" t="inlineStr">
        <is>
          <t>Invoice 1042 — Sun Bakery</t>
        </is>
      </c>
      <c r="C9" s="10" t="inlineStr">
        <is>
          <t>Sales</t>
        </is>
      </c>
      <c r="D9" s="10" t="inlineStr">
        <is>
          <t>AR</t>
        </is>
      </c>
      <c r="E9" s="11" t="n">
        <v>2650</v>
      </c>
    </row>
    <row r="10">
      <c r="A10" s="10" t="inlineStr">
        <is>
          <t>2026-08-10</t>
        </is>
      </c>
      <c r="B10" s="10" t="inlineStr">
        <is>
          <t>Pay rent August</t>
        </is>
      </c>
      <c r="C10" s="10" t="inlineStr">
        <is>
          <t>Bank</t>
        </is>
      </c>
      <c r="D10" s="10" t="inlineStr">
        <is>
          <t>Bank</t>
        </is>
      </c>
      <c r="E10" s="11" t="n">
        <v>-2500</v>
      </c>
    </row>
    <row r="11">
      <c r="A11" s="10" t="inlineStr">
        <is>
          <t>2026-08-10</t>
        </is>
      </c>
      <c r="B11" s="10" t="inlineStr">
        <is>
          <t>Settle rent AP</t>
        </is>
      </c>
      <c r="C11" s="10" t="inlineStr">
        <is>
          <t>Rent</t>
        </is>
      </c>
      <c r="D11" s="10" t="inlineStr">
        <is>
          <t>AP</t>
        </is>
      </c>
      <c r="E11" s="11" t="n">
        <v>2500</v>
      </c>
    </row>
    <row r="12">
      <c r="A12" s="10" t="inlineStr">
        <is>
          <t>2026-08-12</t>
        </is>
      </c>
      <c r="B12" s="10" t="inlineStr">
        <is>
          <t>Software subscriptions</t>
        </is>
      </c>
      <c r="C12" s="10" t="inlineStr">
        <is>
          <t>Software</t>
        </is>
      </c>
      <c r="D12" s="10" t="inlineStr">
        <is>
          <t>Bank</t>
        </is>
      </c>
      <c r="E12" s="11" t="n">
        <v>-260</v>
      </c>
    </row>
    <row r="13">
      <c r="A13" s="10" t="inlineStr">
        <is>
          <t>2026-08-14</t>
        </is>
      </c>
      <c r="B13" s="10" t="inlineStr">
        <is>
          <t>Stock purchase — Wong Supplies</t>
        </is>
      </c>
      <c r="C13" s="10" t="inlineStr">
        <is>
          <t>Cost of sales</t>
        </is>
      </c>
      <c r="D13" s="10" t="inlineStr">
        <is>
          <t>AP</t>
        </is>
      </c>
      <c r="E13" s="11" t="n">
        <v>-3900</v>
      </c>
    </row>
    <row r="14">
      <c r="A14" s="10" t="inlineStr">
        <is>
          <t>2026-08-15</t>
        </is>
      </c>
      <c r="B14" s="10" t="inlineStr">
        <is>
          <t>Salaries August</t>
        </is>
      </c>
      <c r="C14" s="10" t="inlineStr">
        <is>
          <t>Salaries</t>
        </is>
      </c>
      <c r="D14" s="10" t="inlineStr">
        <is>
          <t>Bank</t>
        </is>
      </c>
      <c r="E14" s="11" t="n">
        <v>-7800</v>
      </c>
    </row>
    <row r="15">
      <c r="A15" s="10" t="inlineStr">
        <is>
          <t>2026-08-18</t>
        </is>
      </c>
      <c r="B15" s="10" t="inlineStr">
        <is>
          <t>Receipt inv 1041 — Lim Trading</t>
        </is>
      </c>
      <c r="C15" s="10" t="inlineStr">
        <is>
          <t>Bank</t>
        </is>
      </c>
      <c r="D15" s="10" t="inlineStr">
        <is>
          <t>Bank</t>
        </is>
      </c>
      <c r="E15" s="11" t="n">
        <v>4200</v>
      </c>
    </row>
    <row r="16">
      <c r="A16" s="10" t="inlineStr">
        <is>
          <t>2026-08-18</t>
        </is>
      </c>
      <c r="B16" s="10" t="inlineStr">
        <is>
          <t>Settle inv 1041</t>
        </is>
      </c>
      <c r="C16" s="10" t="inlineStr">
        <is>
          <t>Sales</t>
        </is>
      </c>
      <c r="D16" s="10" t="inlineStr">
        <is>
          <t>AR</t>
        </is>
      </c>
      <c r="E16" s="11" t="n">
        <v>-4200</v>
      </c>
    </row>
    <row r="17">
      <c r="A17" s="10" t="inlineStr">
        <is>
          <t>2026-08-20</t>
        </is>
      </c>
      <c r="B17" s="10" t="inlineStr">
        <is>
          <t>Invoice 1043 — Harbour Clinic</t>
        </is>
      </c>
      <c r="C17" s="10" t="inlineStr">
        <is>
          <t>Sales</t>
        </is>
      </c>
      <c r="D17" s="10" t="inlineStr">
        <is>
          <t>AR</t>
        </is>
      </c>
      <c r="E17" s="11" t="n">
        <v>9800</v>
      </c>
    </row>
    <row r="18">
      <c r="A18" s="10" t="inlineStr">
        <is>
          <t>2026-08-22</t>
        </is>
      </c>
      <c r="B18" s="10" t="inlineStr">
        <is>
          <t>Pay Wong Supplies</t>
        </is>
      </c>
      <c r="C18" s="10" t="inlineStr">
        <is>
          <t>Bank</t>
        </is>
      </c>
      <c r="D18" s="10" t="inlineStr">
        <is>
          <t>Bank</t>
        </is>
      </c>
      <c r="E18" s="11" t="n">
        <v>-3900</v>
      </c>
    </row>
    <row r="19">
      <c r="A19" s="10" t="inlineStr">
        <is>
          <t>2026-08-22</t>
        </is>
      </c>
      <c r="B19" s="10" t="inlineStr">
        <is>
          <t>Settle Wong AP</t>
        </is>
      </c>
      <c r="C19" s="10" t="inlineStr">
        <is>
          <t>Cost of sales</t>
        </is>
      </c>
      <c r="D19" s="10" t="inlineStr">
        <is>
          <t>AP</t>
        </is>
      </c>
      <c r="E19" s="11" t="n">
        <v>3900</v>
      </c>
    </row>
    <row r="20">
      <c r="A20" s="10" t="inlineStr">
        <is>
          <t>2026-08-25</t>
        </is>
      </c>
      <c r="B20" s="10" t="inlineStr">
        <is>
          <t>Marketing — ads</t>
        </is>
      </c>
      <c r="C20" s="10" t="inlineStr">
        <is>
          <t>Marketing</t>
        </is>
      </c>
      <c r="D20" s="10" t="inlineStr">
        <is>
          <t>Bank</t>
        </is>
      </c>
      <c r="E20" s="11" t="n">
        <v>-450</v>
      </c>
    </row>
    <row r="21">
      <c r="A21" s="10" t="inlineStr">
        <is>
          <t>2026-08-27</t>
        </is>
      </c>
      <c r="B21" s="10" t="inlineStr">
        <is>
          <t>Invoice 1044 — Lim Trading</t>
        </is>
      </c>
      <c r="C21" s="10" t="inlineStr">
        <is>
          <t>Sales</t>
        </is>
      </c>
      <c r="D21" s="10" t="inlineStr">
        <is>
          <t>AR</t>
        </is>
      </c>
      <c r="E21" s="11" t="n">
        <v>3300</v>
      </c>
    </row>
    <row r="22">
      <c r="A22" s="10" t="inlineStr">
        <is>
          <t>2026-08-28</t>
        </is>
      </c>
      <c r="B22" s="10" t="inlineStr">
        <is>
          <t>Bank charges</t>
        </is>
      </c>
      <c r="C22" s="10" t="inlineStr">
        <is>
          <t>Bank charges</t>
        </is>
      </c>
      <c r="D22" s="10" t="inlineStr">
        <is>
          <t>Bank</t>
        </is>
      </c>
      <c r="E22" s="11" t="n">
        <v>-25</v>
      </c>
    </row>
    <row r="23">
      <c r="A23" s="10" t="inlineStr">
        <is>
          <t>2026-08-29</t>
        </is>
      </c>
      <c r="B23" s="10" t="inlineStr">
        <is>
          <t>Insurance premium</t>
        </is>
      </c>
      <c r="C23" s="10" t="inlineStr">
        <is>
          <t>Insurance</t>
        </is>
      </c>
      <c r="D23" s="10" t="inlineStr">
        <is>
          <t>Bank</t>
        </is>
      </c>
      <c r="E23" s="11" t="n">
        <v>-320</v>
      </c>
    </row>
    <row r="24">
      <c r="A24" s="10" t="inlineStr">
        <is>
          <t>2026-08-30</t>
        </is>
      </c>
      <c r="B24" s="10" t="inlineStr">
        <is>
          <t>Stock purchase — Tan Bros</t>
        </is>
      </c>
      <c r="C24" s="10" t="inlineStr">
        <is>
          <t>Cost of sales</t>
        </is>
      </c>
      <c r="D24" s="10" t="inlineStr">
        <is>
          <t>AP</t>
        </is>
      </c>
      <c r="E24" s="11" t="n">
        <v>-2100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44" customWidth="1" min="3" max="3"/>
  </cols>
  <sheetData>
    <row r="1">
      <c r="A1" s="12" t="inlineStr">
        <is>
          <t>Bank reconciliation — August 2026</t>
        </is>
      </c>
    </row>
    <row r="3">
      <c r="A3" t="inlineStr">
        <is>
          <t>Balance per books (Close Pack)</t>
        </is>
      </c>
      <c r="B3" s="13">
        <f>'Close Pack'!B19</f>
        <v/>
      </c>
    </row>
    <row r="4">
      <c r="A4" t="inlineStr">
        <is>
          <t>Add: cheques not yet presented</t>
        </is>
      </c>
      <c r="B4" s="14" t="n">
        <v>0</v>
      </c>
    </row>
    <row r="5">
      <c r="A5" t="inlineStr">
        <is>
          <t>Less: deposits not yet credited</t>
        </is>
      </c>
      <c r="B5" s="14" t="n">
        <v>0</v>
      </c>
    </row>
    <row r="6">
      <c r="A6" t="inlineStr">
        <is>
          <t>Balance per bank statement (type from the statement)</t>
        </is>
      </c>
      <c r="B6" s="14" t="n">
        <v>10365</v>
      </c>
    </row>
    <row r="7">
      <c r="A7" t="inlineStr">
        <is>
          <t>Difference (must be zero)</t>
        </is>
      </c>
      <c r="B7" s="6">
        <f>B3+B4-B5-B6</f>
        <v/>
      </c>
      <c r="C7">
        <f>IF(B7=0,"Reconciled","Investigate — items missing from books or statement")</f>
        <v/>
      </c>
    </row>
    <row r="9">
      <c r="A9" s="2" t="inlineStr">
        <is>
          <t>Yellow cells are typed from the bank statement. Sample statement balance shown.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8" customWidth="1" min="5" max="5"/>
    <col width="14" customWidth="1" min="6" max="6"/>
  </cols>
  <sheetData>
    <row r="1">
      <c r="A1" s="9" t="inlineStr">
        <is>
          <t>Ref</t>
        </is>
      </c>
      <c r="B1" s="9" t="inlineStr">
        <is>
          <t>Name</t>
        </is>
      </c>
      <c r="C1" s="9" t="inlineStr">
        <is>
          <t>Date</t>
        </is>
      </c>
      <c r="D1" s="9" t="inlineStr">
        <is>
          <t>Amount</t>
        </is>
      </c>
      <c r="E1" s="9" t="inlineStr">
        <is>
          <t>Days old at 31 Aug</t>
        </is>
      </c>
      <c r="F1" s="9" t="inlineStr">
        <is>
          <t>Bucket</t>
        </is>
      </c>
    </row>
    <row r="2">
      <c r="A2" s="10" t="inlineStr">
        <is>
          <t>1042</t>
        </is>
      </c>
      <c r="B2" s="10" t="inlineStr">
        <is>
          <t>Sun Bakery</t>
        </is>
      </c>
      <c r="C2" s="10" t="inlineStr">
        <is>
          <t>2026-08-09</t>
        </is>
      </c>
      <c r="D2" s="11" t="n">
        <v>2650</v>
      </c>
      <c r="E2" s="15">
        <f>DATE(2026,8,31)-DATEVALUE(C2)</f>
        <v/>
      </c>
      <c r="F2" s="15">
        <f>IF(E2&lt;=30,"Current",IF(E2&lt;=60,"31–60",IF(E2&lt;=90,"61–90","90+")))</f>
        <v/>
      </c>
    </row>
    <row r="3">
      <c r="A3" s="10" t="inlineStr">
        <is>
          <t>1043</t>
        </is>
      </c>
      <c r="B3" s="10" t="inlineStr">
        <is>
          <t>Harbour Clinic</t>
        </is>
      </c>
      <c r="C3" s="10" t="inlineStr">
        <is>
          <t>2026-08-20</t>
        </is>
      </c>
      <c r="D3" s="11" t="n">
        <v>9800</v>
      </c>
      <c r="E3" s="15">
        <f>DATE(2026,8,31)-DATEVALUE(C3)</f>
        <v/>
      </c>
      <c r="F3" s="15">
        <f>IF(E3&lt;=30,"Current",IF(E3&lt;=60,"31–60",IF(E3&lt;=90,"61–90","90+")))</f>
        <v/>
      </c>
    </row>
    <row r="4">
      <c r="A4" s="10" t="inlineStr">
        <is>
          <t>1044</t>
        </is>
      </c>
      <c r="B4" s="10" t="inlineStr">
        <is>
          <t>Lim Trading</t>
        </is>
      </c>
      <c r="C4" s="10" t="inlineStr">
        <is>
          <t>2026-08-27</t>
        </is>
      </c>
      <c r="D4" s="11" t="n">
        <v>3300</v>
      </c>
      <c r="E4" s="15">
        <f>DATE(2026,8,31)-DATEVALUE(C4)</f>
        <v/>
      </c>
      <c r="F4" s="15">
        <f>IF(E4&lt;=30,"Current",IF(E4&lt;=60,"31–60",IF(E4&lt;=90,"61–90","90+")))</f>
        <v/>
      </c>
    </row>
    <row r="6">
      <c r="C6" t="inlineStr">
        <is>
          <t>Total</t>
        </is>
      </c>
      <c r="D6" s="16">
        <f>SUM(D2:D4)</f>
        <v/>
      </c>
    </row>
    <row r="7">
      <c r="C7" t="inlineStr">
        <is>
          <t>Agrees to Close Pack?</t>
        </is>
      </c>
      <c r="D7">
        <f>IF(ROUND(D6-'Close Pack'!B20,0)=0,"Yes","No — check")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8" customWidth="1" min="5" max="5"/>
    <col width="14" customWidth="1" min="6" max="6"/>
  </cols>
  <sheetData>
    <row r="1">
      <c r="A1" s="9" t="inlineStr">
        <is>
          <t>Ref</t>
        </is>
      </c>
      <c r="B1" s="9" t="inlineStr">
        <is>
          <t>Name</t>
        </is>
      </c>
      <c r="C1" s="9" t="inlineStr">
        <is>
          <t>Date</t>
        </is>
      </c>
      <c r="D1" s="9" t="inlineStr">
        <is>
          <t>Amount</t>
        </is>
      </c>
      <c r="E1" s="9" t="inlineStr">
        <is>
          <t>Days old at 31 Aug</t>
        </is>
      </c>
      <c r="F1" s="9" t="inlineStr">
        <is>
          <t>Bucket</t>
        </is>
      </c>
    </row>
    <row r="2">
      <c r="A2" s="10" t="inlineStr">
        <is>
          <t>TB-88</t>
        </is>
      </c>
      <c r="B2" s="10" t="inlineStr">
        <is>
          <t>Tan Bros</t>
        </is>
      </c>
      <c r="C2" s="10" t="inlineStr">
        <is>
          <t>2026-08-30</t>
        </is>
      </c>
      <c r="D2" s="11" t="n">
        <v>2100</v>
      </c>
      <c r="E2" s="15">
        <f>DATE(2026,8,31)-DATEVALUE(C2)</f>
        <v/>
      </c>
      <c r="F2" s="15">
        <f>IF(E2&lt;=30,"Current",IF(E2&lt;=60,"31–60",IF(E2&lt;=90,"61–90","90+")))</f>
        <v/>
      </c>
    </row>
    <row r="4">
      <c r="C4" t="inlineStr">
        <is>
          <t>Total</t>
        </is>
      </c>
      <c r="D4" s="16">
        <f>SUM(D2:D2)</f>
        <v/>
      </c>
    </row>
    <row r="5">
      <c r="C5" t="inlineStr">
        <is>
          <t>Agrees to Close Pack?</t>
        </is>
      </c>
      <c r="D5">
        <f>IF(ROUND(D4-'Close Pack'!B21,0)=0,"Yes","No — check")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50" customWidth="1" min="3" max="3"/>
  </cols>
  <sheetData>
    <row r="1">
      <c r="A1" s="9" t="inlineStr">
        <is>
          <t>Month-end step</t>
        </is>
      </c>
      <c r="B1" s="9" t="inlineStr">
        <is>
          <t>Done</t>
        </is>
      </c>
      <c r="C1" s="9" t="inlineStr">
        <is>
          <t>Note</t>
        </is>
      </c>
    </row>
    <row r="2">
      <c r="A2" s="8" t="inlineStr">
        <is>
          <t>All bank and card statements downloaded</t>
        </is>
      </c>
      <c r="B2" s="17" t="n"/>
      <c r="C2" s="15" t="n"/>
    </row>
    <row r="3">
      <c r="A3" s="8" t="inlineStr">
        <is>
          <t>Every transaction categorised</t>
        </is>
      </c>
      <c r="B3" s="17" t="n"/>
      <c r="C3" s="15" t="n"/>
    </row>
    <row r="4">
      <c r="A4" s="8" t="inlineStr">
        <is>
          <t>Bank reconciliation difference is zero</t>
        </is>
      </c>
      <c r="B4" s="17" t="n"/>
      <c r="C4" s="15" t="n"/>
    </row>
    <row r="5">
      <c r="A5" s="8" t="inlineStr">
        <is>
          <t>Sales invoices raised and matched to receipts</t>
        </is>
      </c>
      <c r="B5" s="17" t="n"/>
      <c r="C5" s="15" t="n"/>
    </row>
    <row r="6">
      <c r="A6" s="8" t="inlineStr">
        <is>
          <t>Supplier bills entered and matched to payments</t>
        </is>
      </c>
      <c r="B6" s="17" t="n"/>
      <c r="C6" s="15" t="n"/>
    </row>
    <row r="7">
      <c r="A7" s="8" t="inlineStr">
        <is>
          <t>AR and AP ageing agree to the close pack</t>
        </is>
      </c>
      <c r="B7" s="17" t="n"/>
      <c r="C7" s="15" t="n"/>
    </row>
    <row r="8">
      <c r="A8" s="8" t="inlineStr">
        <is>
          <t>Payroll posted and agrees to payslips</t>
        </is>
      </c>
      <c r="B8" s="17" t="n"/>
      <c r="C8" s="15" t="n"/>
    </row>
    <row r="9">
      <c r="A9" s="8" t="inlineStr">
        <is>
          <t>Prepayments and accruals reviewed</t>
        </is>
      </c>
      <c r="B9" s="17" t="n"/>
      <c r="C9" s="15" t="n"/>
    </row>
    <row r="10">
      <c r="A10" s="8" t="inlineStr">
        <is>
          <t>Close pack sent to the client with the five lines</t>
        </is>
      </c>
      <c r="B10" s="17" t="n"/>
      <c r="C10" s="15" t="n"/>
    </row>
    <row r="12">
      <c r="A12" s="2" t="inlineStr">
        <is>
          <t>Type Y in the yellow cells as each step is done.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2026-09-19T13:58:17Z</dcterms:created>
  <dcterms:modified xsi:type="dcterms:W3CDTF">2026-09-19T13:58:17Z</dcterms:modified>
</cp:coreProperties>
</file>